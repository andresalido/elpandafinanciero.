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 del Hogar" sheetId="1" state="visible" r:id="rId3"/>
  </sheets>
  <definedNames>
    <definedName function="false" hidden="false" localSheetId="0" name="_xlnm.Print_Area" vbProcedure="false">'Balance del Hogar'!$A$1:$F$58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<sst xmlns="http://schemas.openxmlformats.org/spreadsheetml/2006/main" count="77" uniqueCount="64">
  <si>
    <t xml:space="preserve">BALANCE FINANCIERO DEL HOGAR</t>
  </si>
  <si>
    <t xml:space="preserve">Finanzas con el Panda · educación financiera, sin ruido</t>
  </si>
  <si>
    <t xml:space="preserve">Cómo usarla: escribe tus montos MENSUALES en las celdas blancas (con letra azul). Los datos que ves son un ejemplo en pesos: bórralos y pon los tuyos. Todo lo demás se calcula solo.</t>
  </si>
  <si>
    <t xml:space="preserve">INGRESOS MENSUALES</t>
  </si>
  <si>
    <t xml:space="preserve">GASTOS MENSUALES</t>
  </si>
  <si>
    <t xml:space="preserve">Concepto</t>
  </si>
  <si>
    <t xml:space="preserve">Monto</t>
  </si>
  <si>
    <t xml:space="preserve">% de tus ingresos</t>
  </si>
  <si>
    <t xml:space="preserve">Sueldo o ingreso principal</t>
  </si>
  <si>
    <t xml:space="preserve">VIVIENDA (gastos fijos)</t>
  </si>
  <si>
    <t xml:space="preserve">Sueldo de tu pareja</t>
  </si>
  <si>
    <t xml:space="preserve">Hipoteca o renta</t>
  </si>
  <si>
    <t xml:space="preserve">Rentas</t>
  </si>
  <si>
    <t xml:space="preserve">Luz</t>
  </si>
  <si>
    <t xml:space="preserve">Negocio propio</t>
  </si>
  <si>
    <t xml:space="preserve">Agua</t>
  </si>
  <si>
    <t xml:space="preserve">Honorarios / trabajos extra</t>
  </si>
  <si>
    <t xml:space="preserve">Gas</t>
  </si>
  <si>
    <t xml:space="preserve">Dividendos e inversiones</t>
  </si>
  <si>
    <t xml:space="preserve">Internet y teléfonos</t>
  </si>
  <si>
    <t xml:space="preserve">Otro ingreso</t>
  </si>
  <si>
    <t xml:space="preserve">Cuota de mantenimiento / condominal</t>
  </si>
  <si>
    <t xml:space="preserve">Predial y seguro de la casa (mensualizado)</t>
  </si>
  <si>
    <t xml:space="preserve">TOTAL INGRESOS</t>
  </si>
  <si>
    <t xml:space="preserve">Subtotal</t>
  </si>
  <si>
    <t xml:space="preserve">DESPENSA Y HOGAR</t>
  </si>
  <si>
    <t xml:space="preserve">TU BALANCE DEL MES</t>
  </si>
  <si>
    <t xml:space="preserve">Supermercado</t>
  </si>
  <si>
    <t xml:space="preserve">Total de ingresos</t>
  </si>
  <si>
    <t xml:space="preserve">Tiendas mayoristas (Sam's, Costco, etc.)</t>
  </si>
  <si>
    <t xml:space="preserve">Total de gastos</t>
  </si>
  <si>
    <t xml:space="preserve">Artículos de limpieza y hogar</t>
  </si>
  <si>
    <t xml:space="preserve">Te sobra / te falta</t>
  </si>
  <si>
    <t xml:space="preserve">Otro</t>
  </si>
  <si>
    <t xml:space="preserve">% de tu ingreso que gastas</t>
  </si>
  <si>
    <t xml:space="preserve">Balance proyectado a 12 meses</t>
  </si>
  <si>
    <t xml:space="preserve">PERSONAL DE CASA</t>
  </si>
  <si>
    <t xml:space="preserve">Trabajadora(or) del hogar</t>
  </si>
  <si>
    <t xml:space="preserve">Jardinería</t>
  </si>
  <si>
    <t xml:space="preserve">Servicio interno / mantenimiento</t>
  </si>
  <si>
    <t xml:space="preserve">Referencia: una regla común es 50% necesidades, 30% gustos, 20% ahorro y deudas. No es ley, es un punto de partida para comparar tu porcentaje.</t>
  </si>
  <si>
    <t xml:space="preserve">EDUCACIÓN</t>
  </si>
  <si>
    <t xml:space="preserve">Colegiaturas</t>
  </si>
  <si>
    <t xml:space="preserve">Útiles, uniformes y libros</t>
  </si>
  <si>
    <t xml:space="preserve">Actividades extra (deportes, idiomas)</t>
  </si>
  <si>
    <t xml:space="preserve">TRANSPORTE</t>
  </si>
  <si>
    <t xml:space="preserve">Gasolina</t>
  </si>
  <si>
    <t xml:space="preserve">Seguro del auto</t>
  </si>
  <si>
    <t xml:space="preserve">Mantenimiento y refrendo</t>
  </si>
  <si>
    <t xml:space="preserve">SALUD</t>
  </si>
  <si>
    <t xml:space="preserve">Seguro médico</t>
  </si>
  <si>
    <t xml:space="preserve">Medicinas y consultas</t>
  </si>
  <si>
    <t xml:space="preserve">DEUDAS</t>
  </si>
  <si>
    <t xml:space="preserve">Pagos de tarjetas de crédito</t>
  </si>
  <si>
    <t xml:space="preserve">Préstamos (auto, personal, etc.)</t>
  </si>
  <si>
    <t xml:space="preserve">FAMILIA Y ESTILO DE VIDA</t>
  </si>
  <si>
    <t xml:space="preserve">Streaming y suscripciones</t>
  </si>
  <si>
    <t xml:space="preserve">Salidas, restaurantes y diversión</t>
  </si>
  <si>
    <t xml:space="preserve">Ropa y cuidado personal</t>
  </si>
  <si>
    <t xml:space="preserve">AHORRO E INVERSIÓN</t>
  </si>
  <si>
    <t xml:space="preserve">Fondo de emergencia</t>
  </si>
  <si>
    <t xml:space="preserve">Inversión (ETFs, retiro, etc.)</t>
  </si>
  <si>
    <t xml:space="preserve">TOTAL GASTOS</t>
  </si>
  <si>
    <t xml:space="preserve">@finanzasconelpanda · elpandafinanciero.com · Herramienta educativa, no sustituye asesoría financiera personalizada.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</si>
</sst>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[RED]&quot;-$&quot;#,##0;\-"/>
    <numFmt numFmtId="166" formatCode="0.0%;\-0.0%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FFFFFF"/>
      <name val="Poppins"/>
      <family val="0"/>
      <charset val="1"/>
    </font>
    <font>
      <i val="true"/>
      <sz val="11"/>
      <color rgb="FFCFE3D6"/>
      <name val="Lora"/>
      <family val="0"/>
      <charset val="1"/>
    </font>
    <font>
      <sz val="9"/>
      <color rgb="FF2B2B2B"/>
      <name val="Lora"/>
      <family val="0"/>
      <charset val="1"/>
    </font>
    <font>
      <b val="true"/>
      <sz val="11"/>
      <color rgb="FFFFFFFF"/>
      <name val="Poppins"/>
      <family val="0"/>
      <charset val="1"/>
    </font>
    <font>
      <b val="true"/>
      <sz val="9"/>
      <color rgb="FF1B4332"/>
      <name val="Poppins"/>
      <family val="0"/>
      <charset val="1"/>
    </font>
    <font>
      <sz val="10"/>
      <color rgb="FF2B2B2B"/>
      <name val="Poppins"/>
      <family val="0"/>
      <charset val="1"/>
    </font>
    <font>
      <sz val="10"/>
      <color rgb="FF0000FF"/>
      <name val="Poppins"/>
      <family val="0"/>
      <charset val="1"/>
    </font>
    <font>
      <b val="true"/>
      <sz val="10"/>
      <color rgb="FF1B4332"/>
      <name val="Poppins"/>
      <family val="0"/>
      <charset val="1"/>
    </font>
    <font>
      <sz val="9"/>
      <color rgb="FF2B2B2B"/>
      <name val="Poppins"/>
      <family val="0"/>
      <charset val="1"/>
    </font>
    <font>
      <b val="true"/>
      <sz val="10"/>
      <color rgb="FF2B2B2B"/>
      <name val="Poppins"/>
      <family val="0"/>
      <charset val="1"/>
    </font>
    <font>
      <b val="true"/>
      <sz val="11"/>
      <color rgb="FF1B4332"/>
      <name val="Poppins"/>
      <family val="0"/>
      <charset val="1"/>
    </font>
    <font>
      <b val="true"/>
      <sz val="9"/>
      <color rgb="FF2B2B2B"/>
      <name val="Poppins"/>
      <family val="0"/>
      <charset val="1"/>
    </font>
    <font>
      <b val="true"/>
      <i val="true"/>
      <sz val="10"/>
      <color rgb="FF1B4332"/>
      <name val="Lora"/>
      <family val="0"/>
      <charset val="1"/>
    </font>
    <font>
      <i val="true"/>
      <sz val="9"/>
      <color rgb="FF2B2B2B"/>
      <name val="Lora"/>
      <family val="0"/>
      <charset val="1"/>
    </font>
    <font>
      <sz val="8"/>
      <color rgb="FF6B6B6B"/>
      <name val="Poppin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4332"/>
        <bgColor rgb="FF2B2B2B"/>
      </patternFill>
    </fill>
    <fill>
      <patternFill patternType="solid">
        <fgColor rgb="FFFAF6EF"/>
        <bgColor rgb="FFFFFFFF"/>
      </patternFill>
    </fill>
    <fill>
      <patternFill patternType="solid">
        <fgColor rgb="FFFFFFFF"/>
        <bgColor rgb="FFFAF6EF"/>
      </patternFill>
    </fill>
    <fill>
      <patternFill patternType="solid">
        <fgColor rgb="FFE8F0EA"/>
        <bgColor rgb="FFFAF6E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B4332"/>
      </bottom>
      <diagonal/>
    </border>
    <border diagonalUp="false" diagonalDown="false">
      <left style="thin">
        <color rgb="FFC9C2B4"/>
      </left>
      <right style="thin">
        <color rgb="FFC9C2B4"/>
      </right>
      <top style="thin">
        <color rgb="FFC9C2B4"/>
      </top>
      <bottom style="thin">
        <color rgb="FFC9C2B4"/>
      </bottom>
      <diagonal/>
    </border>
    <border diagonalUp="false" diagonalDown="false">
      <left/>
      <right/>
      <top style="medium">
        <color rgb="FF1B4332"/>
      </top>
      <bottom/>
      <diagonal/>
    </border>
    <border diagonalUp="false" diagonalDown="false">
      <left/>
      <right/>
      <top style="thin">
        <color rgb="FFC9C2B4"/>
      </top>
      <bottom/>
      <diagonal/>
    </border>
    <border diagonalUp="false" diagonalDown="false">
      <left/>
      <right/>
      <top/>
      <bottom style="thin">
        <color rgb="FFC9C2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6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4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5" fontId="13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9" fillId="3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9" fillId="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4" fillId="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3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1" fillId="5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11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4"/>
      <rgbColor rgb="FF808080"/>
      <rgbColor rgb="FF9999FF"/>
      <rgbColor rgb="FF993366"/>
      <rgbColor rgb="FFFAF6EF"/>
      <rgbColor rgb="FFE8F0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3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B4332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5</xdr:col>
      <xdr:colOff>437400</xdr:colOff>
      <xdr:row>0</xdr:row>
      <xdr:rowOff>437400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8105760" y="0"/>
          <a:ext cx="437400" cy="437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7"/>
    <col collapsed="false" customWidth="true" hidden="false" outlineLevel="0" max="3" min="3" style="1" width="3"/>
    <col collapsed="false" customWidth="true" hidden="false" outlineLevel="0" max="4" min="4" style="1" width="44"/>
    <col collapsed="false" customWidth="true" hidden="false" outlineLevel="0" max="5" min="5" style="1" width="17"/>
    <col collapsed="false" customWidth="true" hidden="false" outlineLevel="0" max="6" min="6" style="1" width="13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3"/>
    </row>
    <row r="2" customFormat="false" ht="19.5" hidden="false" customHeight="true" outlineLevel="0" collapsed="false">
      <c r="A2" s="4" t="s">
        <v>1</v>
      </c>
      <c r="B2" s="4"/>
      <c r="C2" s="4"/>
      <c r="D2" s="4"/>
      <c r="E2" s="4"/>
      <c r="F2" s="4"/>
      <c r="G2" s="3"/>
    </row>
    <row r="3" customFormat="false" ht="30" hidden="false" customHeight="true" outlineLevel="0" collapsed="false">
      <c r="A3" s="5" t="s">
        <v>2</v>
      </c>
      <c r="B3" s="5"/>
      <c r="C3" s="5"/>
      <c r="D3" s="5"/>
      <c r="E3" s="5"/>
      <c r="F3" s="5"/>
      <c r="G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</row>
    <row r="5" customFormat="false" ht="15" hidden="false" customHeight="true" outlineLevel="0" collapsed="false">
      <c r="A5" s="6" t="s">
        <v>3</v>
      </c>
      <c r="B5" s="6"/>
      <c r="C5" s="3"/>
      <c r="D5" s="6" t="s">
        <v>4</v>
      </c>
      <c r="E5" s="6"/>
      <c r="F5" s="6"/>
      <c r="G5" s="3"/>
    </row>
    <row r="6" customFormat="false" ht="15" hidden="false" customHeight="true" outlineLevel="0" collapsed="false">
      <c r="A6" s="7" t="s">
        <v>5</v>
      </c>
      <c r="B6" s="8" t="s">
        <v>6</v>
      </c>
      <c r="C6" s="3"/>
      <c r="D6" s="7" t="s">
        <v>5</v>
      </c>
      <c r="E6" s="8" t="s">
        <v>6</v>
      </c>
      <c r="F6" s="8" t="s">
        <v>7</v>
      </c>
      <c r="G6" s="3"/>
    </row>
    <row r="7" customFormat="false" ht="15" hidden="false" customHeight="true" outlineLevel="0" collapsed="false">
      <c r="A7" s="9" t="s">
        <v>8</v>
      </c>
      <c r="B7" s="10" t="n">
        <v>45000</v>
      </c>
      <c r="C7" s="3"/>
      <c r="D7" s="11" t="s">
        <v>9</v>
      </c>
      <c r="E7" s="12"/>
      <c r="F7" s="12"/>
      <c r="G7" s="3"/>
    </row>
    <row r="8" customFormat="false" ht="15" hidden="false" customHeight="true" outlineLevel="0" collapsed="false">
      <c r="A8" s="9" t="s">
        <v>10</v>
      </c>
      <c r="B8" s="10" t="n">
        <v>30000</v>
      </c>
      <c r="C8" s="3"/>
      <c r="D8" s="13" t="s">
        <v>11</v>
      </c>
      <c r="E8" s="10" t="n">
        <v>18000</v>
      </c>
      <c r="F8" s="14" t="n">
        <f aca="false">IFERROR(E8/$B$15,0)</f>
        <v>0.180904522613065</v>
      </c>
      <c r="G8" s="3"/>
    </row>
    <row r="9" customFormat="false" ht="15" hidden="false" customHeight="true" outlineLevel="0" collapsed="false">
      <c r="A9" s="9" t="s">
        <v>12</v>
      </c>
      <c r="B9" s="10" t="n">
        <v>20000</v>
      </c>
      <c r="C9" s="3"/>
      <c r="D9" s="13" t="s">
        <v>13</v>
      </c>
      <c r="E9" s="10" t="n">
        <v>1800</v>
      </c>
      <c r="F9" s="14" t="n">
        <f aca="false">IFERROR(E9/$B$15,0)</f>
        <v>0.0180904522613065</v>
      </c>
      <c r="G9" s="3"/>
    </row>
    <row r="10" customFormat="false" ht="15" hidden="false" customHeight="true" outlineLevel="0" collapsed="false">
      <c r="A10" s="9" t="s">
        <v>14</v>
      </c>
      <c r="B10" s="10" t="n">
        <v>0</v>
      </c>
      <c r="C10" s="3"/>
      <c r="D10" s="13" t="s">
        <v>15</v>
      </c>
      <c r="E10" s="10" t="n">
        <v>500</v>
      </c>
      <c r="F10" s="14" t="n">
        <f aca="false">IFERROR(E10/$B$15,0)</f>
        <v>0.0050251256281407</v>
      </c>
      <c r="G10" s="3"/>
    </row>
    <row r="11" customFormat="false" ht="15" hidden="false" customHeight="true" outlineLevel="0" collapsed="false">
      <c r="A11" s="9" t="s">
        <v>16</v>
      </c>
      <c r="B11" s="10" t="n">
        <v>3000</v>
      </c>
      <c r="C11" s="3"/>
      <c r="D11" s="13" t="s">
        <v>17</v>
      </c>
      <c r="E11" s="10" t="n">
        <v>600</v>
      </c>
      <c r="F11" s="14" t="n">
        <f aca="false">IFERROR(E11/$B$15,0)</f>
        <v>0.00603015075376884</v>
      </c>
      <c r="G11" s="3"/>
    </row>
    <row r="12" customFormat="false" ht="15" hidden="false" customHeight="true" outlineLevel="0" collapsed="false">
      <c r="A12" s="9" t="s">
        <v>18</v>
      </c>
      <c r="B12" s="10" t="n">
        <v>1500</v>
      </c>
      <c r="C12" s="3"/>
      <c r="D12" s="13" t="s">
        <v>19</v>
      </c>
      <c r="E12" s="10" t="n">
        <v>900</v>
      </c>
      <c r="F12" s="14" t="n">
        <f aca="false">IFERROR(E12/$B$15,0)</f>
        <v>0.00904522613065327</v>
      </c>
      <c r="G12" s="3"/>
    </row>
    <row r="13" customFormat="false" ht="15" hidden="false" customHeight="true" outlineLevel="0" collapsed="false">
      <c r="A13" s="9" t="s">
        <v>20</v>
      </c>
      <c r="B13" s="10"/>
      <c r="C13" s="3"/>
      <c r="D13" s="13" t="s">
        <v>21</v>
      </c>
      <c r="E13" s="10" t="n">
        <v>2500</v>
      </c>
      <c r="F13" s="14" t="n">
        <f aca="false">IFERROR(E13/$B$15,0)</f>
        <v>0.0251256281407035</v>
      </c>
      <c r="G13" s="3"/>
    </row>
    <row r="14" customFormat="false" ht="15" hidden="false" customHeight="true" outlineLevel="0" collapsed="false">
      <c r="A14" s="9" t="s">
        <v>20</v>
      </c>
      <c r="B14" s="10"/>
      <c r="C14" s="3"/>
      <c r="D14" s="13" t="s">
        <v>22</v>
      </c>
      <c r="E14" s="10" t="n">
        <v>1200</v>
      </c>
      <c r="F14" s="14" t="n">
        <f aca="false">IFERROR(E14/$B$15,0)</f>
        <v>0.0120603015075377</v>
      </c>
      <c r="G14" s="3"/>
    </row>
    <row r="15" customFormat="false" ht="15" hidden="false" customHeight="true" outlineLevel="0" collapsed="false">
      <c r="A15" s="15" t="s">
        <v>23</v>
      </c>
      <c r="B15" s="16" t="n">
        <f aca="false">SUM(B7:B14)</f>
        <v>99500</v>
      </c>
      <c r="C15" s="3"/>
      <c r="D15" s="17" t="s">
        <v>24</v>
      </c>
      <c r="E15" s="18" t="n">
        <f aca="false">SUM(E8:E14)</f>
        <v>25500</v>
      </c>
      <c r="F15" s="19" t="n">
        <f aca="false">IFERROR(E15/$B$15,0)</f>
        <v>0.256281407035176</v>
      </c>
      <c r="G15" s="3"/>
    </row>
    <row r="16" customFormat="false" ht="15" hidden="false" customHeight="true" outlineLevel="0" collapsed="false">
      <c r="A16" s="3"/>
      <c r="B16" s="3"/>
      <c r="C16" s="3"/>
      <c r="D16" s="20" t="s">
        <v>25</v>
      </c>
      <c r="E16" s="12"/>
      <c r="F16" s="12"/>
      <c r="G16" s="3"/>
    </row>
    <row r="17" customFormat="false" ht="15" hidden="false" customHeight="true" outlineLevel="0" collapsed="false">
      <c r="A17" s="6" t="s">
        <v>26</v>
      </c>
      <c r="B17" s="6"/>
      <c r="C17" s="3"/>
      <c r="D17" s="13" t="s">
        <v>27</v>
      </c>
      <c r="E17" s="10" t="n">
        <v>8000</v>
      </c>
      <c r="F17" s="14" t="n">
        <f aca="false">IFERROR(E17/$B$15,0)</f>
        <v>0.0804020100502513</v>
      </c>
      <c r="G17" s="3"/>
    </row>
    <row r="18" customFormat="false" ht="15" hidden="false" customHeight="true" outlineLevel="0" collapsed="false">
      <c r="A18" s="21" t="s">
        <v>28</v>
      </c>
      <c r="B18" s="22" t="n">
        <f aca="false">B15</f>
        <v>99500</v>
      </c>
      <c r="C18" s="3"/>
      <c r="D18" s="13" t="s">
        <v>29</v>
      </c>
      <c r="E18" s="10" t="n">
        <v>6000</v>
      </c>
      <c r="F18" s="14" t="n">
        <f aca="false">IFERROR(E18/$B$15,0)</f>
        <v>0.0603015075376884</v>
      </c>
      <c r="G18" s="3"/>
    </row>
    <row r="19" customFormat="false" ht="15" hidden="false" customHeight="true" outlineLevel="0" collapsed="false">
      <c r="A19" s="21" t="s">
        <v>30</v>
      </c>
      <c r="B19" s="22" t="n">
        <f aca="false">E56</f>
        <v>87000</v>
      </c>
      <c r="C19" s="3"/>
      <c r="D19" s="13" t="s">
        <v>31</v>
      </c>
      <c r="E19" s="10" t="n">
        <v>1200</v>
      </c>
      <c r="F19" s="14" t="n">
        <f aca="false">IFERROR(E19/$B$15,0)</f>
        <v>0.0120603015075377</v>
      </c>
      <c r="G19" s="3"/>
    </row>
    <row r="20" customFormat="false" ht="15" hidden="false" customHeight="true" outlineLevel="0" collapsed="false">
      <c r="A20" s="23" t="s">
        <v>32</v>
      </c>
      <c r="B20" s="24" t="n">
        <f aca="false">B18-B19</f>
        <v>12500</v>
      </c>
      <c r="C20" s="3"/>
      <c r="D20" s="13" t="s">
        <v>33</v>
      </c>
      <c r="E20" s="10"/>
      <c r="F20" s="14" t="n">
        <f aca="false">IFERROR(E20/$B$15,0)</f>
        <v>0</v>
      </c>
      <c r="G20" s="3"/>
    </row>
    <row r="21" customFormat="false" ht="15" hidden="false" customHeight="true" outlineLevel="0" collapsed="false">
      <c r="A21" s="21" t="s">
        <v>34</v>
      </c>
      <c r="B21" s="25" t="n">
        <f aca="false">IFERROR(B19/B18,0)</f>
        <v>0.874371859296482</v>
      </c>
      <c r="C21" s="3"/>
      <c r="D21" s="17" t="s">
        <v>24</v>
      </c>
      <c r="E21" s="18" t="n">
        <f aca="false">SUM(E17:E20)</f>
        <v>15200</v>
      </c>
      <c r="F21" s="19" t="n">
        <f aca="false">IFERROR(E21/$B$15,0)</f>
        <v>0.152763819095477</v>
      </c>
      <c r="G21" s="3"/>
    </row>
    <row r="22" customFormat="false" ht="15" hidden="false" customHeight="true" outlineLevel="0" collapsed="false">
      <c r="A22" s="21" t="s">
        <v>35</v>
      </c>
      <c r="B22" s="22" t="n">
        <f aca="false">B20*12</f>
        <v>150000</v>
      </c>
      <c r="C22" s="3"/>
      <c r="D22" s="20" t="s">
        <v>36</v>
      </c>
      <c r="E22" s="12"/>
      <c r="F22" s="12"/>
      <c r="G22" s="3"/>
    </row>
    <row r="23" customFormat="false" ht="24" hidden="false" customHeight="true" outlineLevel="0" collapsed="false">
      <c r="A23" s="26" t="str">
        <f aca="false">IF(B18=0,"Captura tus ingresos para ver tu balance",IF(B20&gt;=0,"Vas bien: te sobra dinero cada mes. Ahora dale un trabajo (ahorro, inversión o pagar deudas).","Ojo: gastas más de lo que ganas. Revisa los gastos con el % más alto."))</f>
        <v>Vas bien: te sobra dinero cada mes. Ahora dale un trabajo (ahorro, inversión o pagar deudas).</v>
      </c>
      <c r="B23" s="26"/>
      <c r="C23" s="3"/>
      <c r="D23" s="13" t="s">
        <v>37</v>
      </c>
      <c r="E23" s="10" t="n">
        <v>6000</v>
      </c>
      <c r="F23" s="14" t="n">
        <f aca="false">IFERROR(E23/$B$15,0)</f>
        <v>0.0603015075376884</v>
      </c>
      <c r="G23" s="3"/>
    </row>
    <row r="24" customFormat="false" ht="24" hidden="false" customHeight="true" outlineLevel="0" collapsed="false">
      <c r="A24" s="26"/>
      <c r="B24" s="26"/>
      <c r="C24" s="3"/>
      <c r="D24" s="13" t="s">
        <v>38</v>
      </c>
      <c r="E24" s="10" t="n">
        <v>1500</v>
      </c>
      <c r="F24" s="14" t="n">
        <f aca="false">IFERROR(E24/$B$15,0)</f>
        <v>0.0150753768844221</v>
      </c>
      <c r="G24" s="3"/>
    </row>
    <row r="25" customFormat="false" ht="15" hidden="false" customHeight="true" outlineLevel="0" collapsed="false">
      <c r="A25" s="3"/>
      <c r="B25" s="3"/>
      <c r="C25" s="3"/>
      <c r="D25" s="13" t="s">
        <v>39</v>
      </c>
      <c r="E25" s="10" t="n">
        <v>800</v>
      </c>
      <c r="F25" s="14" t="n">
        <f aca="false">IFERROR(E25/$B$15,0)</f>
        <v>0.00804020100502513</v>
      </c>
      <c r="G25" s="3"/>
    </row>
    <row r="26" customFormat="false" ht="15" hidden="false" customHeight="true" outlineLevel="0" collapsed="false">
      <c r="A26" s="27" t="s">
        <v>40</v>
      </c>
      <c r="B26" s="27"/>
      <c r="C26" s="3"/>
      <c r="D26" s="13" t="s">
        <v>33</v>
      </c>
      <c r="E26" s="10"/>
      <c r="F26" s="14" t="n">
        <f aca="false">IFERROR(E26/$B$15,0)</f>
        <v>0</v>
      </c>
      <c r="G26" s="3"/>
    </row>
    <row r="27" customFormat="false" ht="15" hidden="false" customHeight="true" outlineLevel="0" collapsed="false">
      <c r="A27" s="27"/>
      <c r="B27" s="27"/>
      <c r="C27" s="3"/>
      <c r="D27" s="17" t="s">
        <v>24</v>
      </c>
      <c r="E27" s="18" t="n">
        <f aca="false">SUM(E23:E26)</f>
        <v>8300</v>
      </c>
      <c r="F27" s="19" t="n">
        <f aca="false">IFERROR(E27/$B$15,0)</f>
        <v>0.0834170854271357</v>
      </c>
      <c r="G27" s="3"/>
    </row>
    <row r="28" customFormat="false" ht="15" hidden="false" customHeight="true" outlineLevel="0" collapsed="false">
      <c r="A28" s="27"/>
      <c r="B28" s="27"/>
      <c r="C28" s="3"/>
      <c r="D28" s="20" t="s">
        <v>41</v>
      </c>
      <c r="E28" s="12"/>
      <c r="F28" s="12"/>
      <c r="G28" s="3"/>
    </row>
    <row r="29" customFormat="false" ht="15" hidden="false" customHeight="true" outlineLevel="0" collapsed="false">
      <c r="A29" s="3"/>
      <c r="B29" s="3"/>
      <c r="C29" s="3"/>
      <c r="D29" s="13" t="s">
        <v>42</v>
      </c>
      <c r="E29" s="10" t="n">
        <v>12000</v>
      </c>
      <c r="F29" s="14" t="n">
        <f aca="false">IFERROR(E29/$B$15,0)</f>
        <v>0.120603015075377</v>
      </c>
      <c r="G29" s="3"/>
    </row>
    <row r="30" customFormat="false" ht="15" hidden="false" customHeight="true" outlineLevel="0" collapsed="false">
      <c r="A30" s="3"/>
      <c r="B30" s="3"/>
      <c r="C30" s="3"/>
      <c r="D30" s="13" t="s">
        <v>43</v>
      </c>
      <c r="E30" s="10" t="n">
        <v>800</v>
      </c>
      <c r="F30" s="14" t="n">
        <f aca="false">IFERROR(E30/$B$15,0)</f>
        <v>0.00804020100502513</v>
      </c>
      <c r="G30" s="3"/>
    </row>
    <row r="31" customFormat="false" ht="15" hidden="false" customHeight="true" outlineLevel="0" collapsed="false">
      <c r="A31" s="3"/>
      <c r="B31" s="3"/>
      <c r="C31" s="3"/>
      <c r="D31" s="13" t="s">
        <v>44</v>
      </c>
      <c r="E31" s="10" t="n">
        <v>1500</v>
      </c>
      <c r="F31" s="14" t="n">
        <f aca="false">IFERROR(E31/$B$15,0)</f>
        <v>0.0150753768844221</v>
      </c>
      <c r="G31" s="3"/>
    </row>
    <row r="32" customFormat="false" ht="15" hidden="false" customHeight="true" outlineLevel="0" collapsed="false">
      <c r="A32" s="3"/>
      <c r="B32" s="3"/>
      <c r="C32" s="3"/>
      <c r="D32" s="17" t="s">
        <v>24</v>
      </c>
      <c r="E32" s="18" t="n">
        <f aca="false">SUM(E29:E31)</f>
        <v>14300</v>
      </c>
      <c r="F32" s="19" t="n">
        <f aca="false">IFERROR(E32/$B$15,0)</f>
        <v>0.143718592964824</v>
      </c>
      <c r="G32" s="3"/>
    </row>
    <row r="33" customFormat="false" ht="15" hidden="false" customHeight="true" outlineLevel="0" collapsed="false">
      <c r="A33" s="3"/>
      <c r="B33" s="3"/>
      <c r="C33" s="3"/>
      <c r="D33" s="20" t="s">
        <v>45</v>
      </c>
      <c r="E33" s="12"/>
      <c r="F33" s="12"/>
      <c r="G33" s="3"/>
    </row>
    <row r="34" customFormat="false" ht="15" hidden="false" customHeight="true" outlineLevel="0" collapsed="false">
      <c r="A34" s="3"/>
      <c r="B34" s="3"/>
      <c r="C34" s="3"/>
      <c r="D34" s="13" t="s">
        <v>46</v>
      </c>
      <c r="E34" s="10" t="n">
        <v>3500</v>
      </c>
      <c r="F34" s="14" t="n">
        <f aca="false">IFERROR(E34/$B$15,0)</f>
        <v>0.0351758793969849</v>
      </c>
      <c r="G34" s="3"/>
    </row>
    <row r="35" customFormat="false" ht="15" hidden="false" customHeight="true" outlineLevel="0" collapsed="false">
      <c r="A35" s="3"/>
      <c r="B35" s="3"/>
      <c r="C35" s="3"/>
      <c r="D35" s="13" t="s">
        <v>47</v>
      </c>
      <c r="E35" s="10" t="n">
        <v>1500</v>
      </c>
      <c r="F35" s="14" t="n">
        <f aca="false">IFERROR(E35/$B$15,0)</f>
        <v>0.0150753768844221</v>
      </c>
      <c r="G35" s="3"/>
    </row>
    <row r="36" customFormat="false" ht="15" hidden="false" customHeight="true" outlineLevel="0" collapsed="false">
      <c r="A36" s="3"/>
      <c r="B36" s="3"/>
      <c r="C36" s="3"/>
      <c r="D36" s="13" t="s">
        <v>48</v>
      </c>
      <c r="E36" s="10" t="n">
        <v>800</v>
      </c>
      <c r="F36" s="14" t="n">
        <f aca="false">IFERROR(E36/$B$15,0)</f>
        <v>0.00804020100502513</v>
      </c>
      <c r="G36" s="3"/>
    </row>
    <row r="37" customFormat="false" ht="15" hidden="false" customHeight="true" outlineLevel="0" collapsed="false">
      <c r="A37" s="3"/>
      <c r="B37" s="3"/>
      <c r="C37" s="3"/>
      <c r="D37" s="17" t="s">
        <v>24</v>
      </c>
      <c r="E37" s="18" t="n">
        <f aca="false">SUM(E34:E36)</f>
        <v>5800</v>
      </c>
      <c r="F37" s="19" t="n">
        <f aca="false">IFERROR(E37/$B$15,0)</f>
        <v>0.0582914572864322</v>
      </c>
      <c r="G37" s="3"/>
    </row>
    <row r="38" customFormat="false" ht="15" hidden="false" customHeight="true" outlineLevel="0" collapsed="false">
      <c r="A38" s="3"/>
      <c r="B38" s="3"/>
      <c r="C38" s="3"/>
      <c r="D38" s="20" t="s">
        <v>49</v>
      </c>
      <c r="E38" s="12"/>
      <c r="F38" s="12"/>
      <c r="G38" s="3"/>
    </row>
    <row r="39" customFormat="false" ht="15" hidden="false" customHeight="true" outlineLevel="0" collapsed="false">
      <c r="A39" s="3"/>
      <c r="B39" s="3"/>
      <c r="C39" s="3"/>
      <c r="D39" s="13" t="s">
        <v>50</v>
      </c>
      <c r="E39" s="10" t="n">
        <v>2800</v>
      </c>
      <c r="F39" s="14" t="n">
        <f aca="false">IFERROR(E39/$B$15,0)</f>
        <v>0.0281407035175879</v>
      </c>
      <c r="G39" s="3"/>
    </row>
    <row r="40" customFormat="false" ht="15" hidden="false" customHeight="true" outlineLevel="0" collapsed="false">
      <c r="A40" s="3"/>
      <c r="B40" s="3"/>
      <c r="C40" s="3"/>
      <c r="D40" s="13" t="s">
        <v>51</v>
      </c>
      <c r="E40" s="10" t="n">
        <v>1000</v>
      </c>
      <c r="F40" s="14" t="n">
        <f aca="false">IFERROR(E40/$B$15,0)</f>
        <v>0.0100502512562814</v>
      </c>
      <c r="G40" s="3"/>
    </row>
    <row r="41" customFormat="false" ht="15" hidden="false" customHeight="true" outlineLevel="0" collapsed="false">
      <c r="A41" s="3"/>
      <c r="B41" s="3"/>
      <c r="C41" s="3"/>
      <c r="D41" s="17" t="s">
        <v>24</v>
      </c>
      <c r="E41" s="18" t="n">
        <f aca="false">SUM(E39:E40)</f>
        <v>3800</v>
      </c>
      <c r="F41" s="19" t="n">
        <f aca="false">IFERROR(E41/$B$15,0)</f>
        <v>0.0381909547738694</v>
      </c>
      <c r="G41" s="3"/>
    </row>
    <row r="42" customFormat="false" ht="15" hidden="false" customHeight="true" outlineLevel="0" collapsed="false">
      <c r="A42" s="3"/>
      <c r="B42" s="3"/>
      <c r="C42" s="3"/>
      <c r="D42" s="20" t="s">
        <v>52</v>
      </c>
      <c r="E42" s="12"/>
      <c r="F42" s="12"/>
      <c r="G42" s="3"/>
    </row>
    <row r="43" customFormat="false" ht="15" hidden="false" customHeight="true" outlineLevel="0" collapsed="false">
      <c r="A43" s="3"/>
      <c r="B43" s="3"/>
      <c r="C43" s="3"/>
      <c r="D43" s="13" t="s">
        <v>53</v>
      </c>
      <c r="E43" s="10" t="n">
        <v>4000</v>
      </c>
      <c r="F43" s="14" t="n">
        <f aca="false">IFERROR(E43/$B$15,0)</f>
        <v>0.0402010050251256</v>
      </c>
      <c r="G43" s="3"/>
    </row>
    <row r="44" customFormat="false" ht="15" hidden="false" customHeight="true" outlineLevel="0" collapsed="false">
      <c r="A44" s="3"/>
      <c r="B44" s="3"/>
      <c r="C44" s="3"/>
      <c r="D44" s="13" t="s">
        <v>54</v>
      </c>
      <c r="E44" s="10"/>
      <c r="F44" s="14" t="n">
        <f aca="false">IFERROR(E44/$B$15,0)</f>
        <v>0</v>
      </c>
      <c r="G44" s="3"/>
    </row>
    <row r="45" customFormat="false" ht="15" hidden="false" customHeight="true" outlineLevel="0" collapsed="false">
      <c r="A45" s="3"/>
      <c r="B45" s="3"/>
      <c r="C45" s="3"/>
      <c r="D45" s="17" t="s">
        <v>24</v>
      </c>
      <c r="E45" s="18" t="n">
        <f aca="false">SUM(E43:E44)</f>
        <v>4000</v>
      </c>
      <c r="F45" s="19" t="n">
        <f aca="false">IFERROR(E45/$B$15,0)</f>
        <v>0.0402010050251256</v>
      </c>
      <c r="G45" s="3"/>
    </row>
    <row r="46" customFormat="false" ht="15" hidden="false" customHeight="true" outlineLevel="0" collapsed="false">
      <c r="A46" s="3"/>
      <c r="B46" s="3"/>
      <c r="C46" s="3"/>
      <c r="D46" s="20" t="s">
        <v>55</v>
      </c>
      <c r="E46" s="12"/>
      <c r="F46" s="12"/>
      <c r="G46" s="3"/>
    </row>
    <row r="47" customFormat="false" ht="15" hidden="false" customHeight="true" outlineLevel="0" collapsed="false">
      <c r="A47" s="3"/>
      <c r="B47" s="3"/>
      <c r="C47" s="3"/>
      <c r="D47" s="13" t="s">
        <v>56</v>
      </c>
      <c r="E47" s="10" t="n">
        <v>600</v>
      </c>
      <c r="F47" s="14" t="n">
        <f aca="false">IFERROR(E47/$B$15,0)</f>
        <v>0.00603015075376884</v>
      </c>
      <c r="G47" s="3"/>
    </row>
    <row r="48" customFormat="false" ht="15" hidden="false" customHeight="true" outlineLevel="0" collapsed="false">
      <c r="A48" s="3"/>
      <c r="B48" s="3"/>
      <c r="C48" s="3"/>
      <c r="D48" s="13" t="s">
        <v>57</v>
      </c>
      <c r="E48" s="10" t="n">
        <v>3000</v>
      </c>
      <c r="F48" s="14" t="n">
        <f aca="false">IFERROR(E48/$B$15,0)</f>
        <v>0.0301507537688442</v>
      </c>
      <c r="G48" s="3"/>
    </row>
    <row r="49" customFormat="false" ht="15" hidden="false" customHeight="true" outlineLevel="0" collapsed="false">
      <c r="A49" s="3"/>
      <c r="B49" s="3"/>
      <c r="C49" s="3"/>
      <c r="D49" s="13" t="s">
        <v>58</v>
      </c>
      <c r="E49" s="10" t="n">
        <v>1500</v>
      </c>
      <c r="F49" s="14" t="n">
        <f aca="false">IFERROR(E49/$B$15,0)</f>
        <v>0.0150753768844221</v>
      </c>
      <c r="G49" s="3"/>
    </row>
    <row r="50" customFormat="false" ht="15" hidden="false" customHeight="true" outlineLevel="0" collapsed="false">
      <c r="A50" s="3"/>
      <c r="B50" s="3"/>
      <c r="C50" s="3"/>
      <c r="D50" s="13" t="s">
        <v>33</v>
      </c>
      <c r="E50" s="10"/>
      <c r="F50" s="14" t="n">
        <f aca="false">IFERROR(E50/$B$15,0)</f>
        <v>0</v>
      </c>
      <c r="G50" s="3"/>
    </row>
    <row r="51" customFormat="false" ht="15" hidden="false" customHeight="true" outlineLevel="0" collapsed="false">
      <c r="A51" s="3"/>
      <c r="B51" s="3"/>
      <c r="C51" s="3"/>
      <c r="D51" s="17" t="s">
        <v>24</v>
      </c>
      <c r="E51" s="18" t="n">
        <f aca="false">SUM(E47:E50)</f>
        <v>5100</v>
      </c>
      <c r="F51" s="19" t="n">
        <f aca="false">IFERROR(E51/$B$15,0)</f>
        <v>0.0512562814070352</v>
      </c>
      <c r="G51" s="3"/>
    </row>
    <row r="52" customFormat="false" ht="15" hidden="false" customHeight="true" outlineLevel="0" collapsed="false">
      <c r="A52" s="3"/>
      <c r="B52" s="3"/>
      <c r="C52" s="3"/>
      <c r="D52" s="20" t="s">
        <v>59</v>
      </c>
      <c r="E52" s="12"/>
      <c r="F52" s="12"/>
      <c r="G52" s="3"/>
    </row>
    <row r="53" customFormat="false" ht="15" hidden="false" customHeight="true" outlineLevel="0" collapsed="false">
      <c r="A53" s="3"/>
      <c r="B53" s="3"/>
      <c r="C53" s="3"/>
      <c r="D53" s="13" t="s">
        <v>60</v>
      </c>
      <c r="E53" s="10" t="n">
        <v>2000</v>
      </c>
      <c r="F53" s="14" t="n">
        <f aca="false">IFERROR(E53/$B$15,0)</f>
        <v>0.0201005025125628</v>
      </c>
      <c r="G53" s="3"/>
    </row>
    <row r="54" customFormat="false" ht="15" hidden="false" customHeight="true" outlineLevel="0" collapsed="false">
      <c r="A54" s="3"/>
      <c r="B54" s="3"/>
      <c r="C54" s="3"/>
      <c r="D54" s="13" t="s">
        <v>61</v>
      </c>
      <c r="E54" s="10" t="n">
        <v>3000</v>
      </c>
      <c r="F54" s="14" t="n">
        <f aca="false">IFERROR(E54/$B$15,0)</f>
        <v>0.0301507537688442</v>
      </c>
      <c r="G54" s="3"/>
    </row>
    <row r="55" customFormat="false" ht="15" hidden="false" customHeight="true" outlineLevel="0" collapsed="false">
      <c r="A55" s="3"/>
      <c r="B55" s="3"/>
      <c r="C55" s="3"/>
      <c r="D55" s="17" t="s">
        <v>24</v>
      </c>
      <c r="E55" s="18" t="n">
        <f aca="false">SUM(E53:E54)</f>
        <v>5000</v>
      </c>
      <c r="F55" s="19" t="n">
        <f aca="false">IFERROR(E55/$B$15,0)</f>
        <v>0.050251256281407</v>
      </c>
      <c r="G55" s="3"/>
    </row>
    <row r="56" customFormat="false" ht="15" hidden="false" customHeight="true" outlineLevel="0" collapsed="false">
      <c r="A56" s="3"/>
      <c r="B56" s="3"/>
      <c r="C56" s="3"/>
      <c r="D56" s="28" t="s">
        <v>62</v>
      </c>
      <c r="E56" s="16" t="n">
        <f aca="false">E15+E21+E27+E32+E37+E41+E45+E51+E55</f>
        <v>87000</v>
      </c>
      <c r="F56" s="29" t="n">
        <f aca="false">IFERROR(E56/$B$15,0)</f>
        <v>0.874371859296482</v>
      </c>
      <c r="G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</row>
    <row r="58" customFormat="false" ht="15" hidden="false" customHeight="true" outlineLevel="0" collapsed="false">
      <c r="A58" s="30" t="s">
        <v>63</v>
      </c>
      <c r="B58" s="30"/>
      <c r="C58" s="30"/>
      <c r="D58" s="30"/>
      <c r="E58" s="30"/>
      <c r="F58" s="30"/>
      <c r="G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</row>
  </sheetData>
  <mergeCells count="9">
    <mergeCell ref="A1:F1"/>
    <mergeCell ref="A2:F2"/>
    <mergeCell ref="A3:F3"/>
    <mergeCell ref="A5:B5"/>
    <mergeCell ref="D5:F5"/>
    <mergeCell ref="A17:B17"/>
    <mergeCell ref="A23:B24"/>
    <mergeCell ref="A26:B28"/>
    <mergeCell ref="A58:F5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2026-09-28T16:31:36Z</dcterms:created>
  <dc:creator>openpyxl</dc:creator>
  <dc:description/>
  <dc:language>en-US</dc:language>
  <cp:lastModifiedBy/>
  <dcterms:modified xsi:type="dcterms:W3CDTF">2026-09-28T16:38:36Z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